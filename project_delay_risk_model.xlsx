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terialhandlingservices-my.sharepoint.com/personal/jeff_ontko_onpointgroup_com/Documents/Documents/"/>
    </mc:Choice>
  </mc:AlternateContent>
  <xr:revisionPtr revIDLastSave="0" documentId="8_{6BB27749-8395-4D7E-B1D5-9EC2156B94D9}" xr6:coauthVersionLast="47" xr6:coauthVersionMax="47" xr10:uidLastSave="{00000000-0000-0000-0000-000000000000}"/>
  <bookViews>
    <workbookView xWindow="34365" yWindow="4575" windowWidth="23040" windowHeight="16365" xr2:uid="{00000000-000D-0000-FFFF-FFFF00000000}"/>
  </bookViews>
  <sheets>
    <sheet name="Risk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L4" i="1"/>
  <c r="L3" i="1"/>
  <c r="F4" i="1"/>
  <c r="M2" i="1"/>
  <c r="M4" i="1" l="1"/>
  <c r="M3" i="1"/>
</calcChain>
</file>

<file path=xl/sharedStrings.xml><?xml version="1.0" encoding="utf-8"?>
<sst xmlns="http://schemas.openxmlformats.org/spreadsheetml/2006/main" count="17" uniqueCount="17">
  <si>
    <t>TeamExp_Avg</t>
  </si>
  <si>
    <t>TeamExp_Var</t>
  </si>
  <si>
    <t>Complexity</t>
  </si>
  <si>
    <t>ResourceAvail</t>
  </si>
  <si>
    <t>StakeholderEng</t>
  </si>
  <si>
    <t>Dependencies</t>
  </si>
  <si>
    <t>SchedulePressure</t>
  </si>
  <si>
    <t>RiskPct_%</t>
  </si>
  <si>
    <t>Instructions:</t>
  </si>
  <si>
    <t>1. Change inputs in row 2 (or add more rows and copy the formula in H2 down).</t>
  </si>
  <si>
    <t>2. RiskPct_% uses the hybrid model with bias=+1.0 and the agreed weights.</t>
  </si>
  <si>
    <t>Baseline Risk</t>
  </si>
  <si>
    <t>person 1</t>
  </si>
  <si>
    <t>person 2</t>
  </si>
  <si>
    <t>Person 3</t>
  </si>
  <si>
    <t>T-avail</t>
  </si>
  <si>
    <t>T-needed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</si>
</sst>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2" borderId="0" xfId="0" applyFont="1" applyFill="1"/>
    <xf numFmtId="2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4.4" x14ac:dyDescent="0.3"/>
  <cols>
    <col min="4" max="4" width="10.77734375" customWidth="1"/>
    <col min="6" max="6" width="16.44140625" customWidth="1"/>
    <col min="7" max="7" width="13" customWidth="1"/>
    <col min="8" max="8" width="12" customWidth="1"/>
    <col min="9" max="9" width="15" customWidth="1"/>
    <col min="10" max="10" width="16" customWidth="1"/>
    <col min="11" max="11" width="14" customWidth="1"/>
    <col min="12" max="12" width="18" customWidth="1"/>
    <col min="13" max="13" width="19" customWidth="1"/>
  </cols>
  <sheetData>
    <row r="1" spans="1:14" ht="23.4" x14ac:dyDescent="0.45">
      <c r="A1" s="2" t="s">
        <v>12</v>
      </c>
      <c r="B1" s="2" t="s">
        <v>13</v>
      </c>
      <c r="C1" s="2" t="s">
        <v>14</v>
      </c>
      <c r="D1" s="2" t="s">
        <v>16</v>
      </c>
      <c r="E1" s="2" t="s">
        <v>15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4"/>
    </row>
    <row r="2" spans="1:14" ht="23.4" x14ac:dyDescent="0.45">
      <c r="A2" s="6"/>
      <c r="B2" s="6"/>
      <c r="C2" s="6"/>
      <c r="D2" s="6"/>
      <c r="E2" s="6"/>
      <c r="F2" s="5">
        <v>2.5</v>
      </c>
      <c r="G2" s="5">
        <v>0.25</v>
      </c>
      <c r="H2" s="5">
        <v>2</v>
      </c>
      <c r="I2" s="5">
        <v>3</v>
      </c>
      <c r="J2" s="5">
        <v>1</v>
      </c>
      <c r="K2" s="5">
        <v>1</v>
      </c>
      <c r="L2" s="5">
        <v>1.5</v>
      </c>
      <c r="M2" s="7">
        <f>1/(1+EXP(-(1+(-0.4*F2)+(0.2*G2)+(0.5*H2)+(-0.8*I2)+(-0.3*J2)+(0.7*K2)+(1*L2)))) * 100</f>
        <v>63.413559101080061</v>
      </c>
      <c r="N2" s="4" t="s">
        <v>11</v>
      </c>
    </row>
    <row r="3" spans="1:14" ht="23.4" x14ac:dyDescent="0.45">
      <c r="A3" s="4">
        <v>3</v>
      </c>
      <c r="B3" s="4">
        <v>2</v>
      </c>
      <c r="C3" s="4">
        <v>0</v>
      </c>
      <c r="D3" s="4">
        <v>3</v>
      </c>
      <c r="E3" s="4">
        <v>2</v>
      </c>
      <c r="F3" s="8">
        <f>AVERAGE(A3:B3)</f>
        <v>2.5</v>
      </c>
      <c r="G3" s="5">
        <v>0.25</v>
      </c>
      <c r="H3" s="5">
        <v>2</v>
      </c>
      <c r="I3" s="5">
        <v>3</v>
      </c>
      <c r="J3" s="5">
        <v>1</v>
      </c>
      <c r="K3" s="5">
        <v>1</v>
      </c>
      <c r="L3" s="5">
        <f>D3/E3</f>
        <v>1.5</v>
      </c>
      <c r="M3" s="7">
        <f t="shared" ref="M3:M5" si="0">1/(1+EXP(-(1+(-0.4*F3)+(0.2*G3)+(0.5*H3)+(-0.8*I3)+(-0.3*J3)+(0.7*K3)+(1*L3)))) * 100</f>
        <v>63.413559101080061</v>
      </c>
      <c r="N3" s="4"/>
    </row>
    <row r="4" spans="1:14" ht="23.4" x14ac:dyDescent="0.45">
      <c r="A4" s="4">
        <v>3</v>
      </c>
      <c r="B4" s="4">
        <v>3</v>
      </c>
      <c r="C4" s="4">
        <v>0</v>
      </c>
      <c r="D4" s="4">
        <v>3</v>
      </c>
      <c r="E4" s="4">
        <v>1</v>
      </c>
      <c r="F4" s="8">
        <f t="shared" ref="F4:F5" si="1">AVERAGE(A4:C4)</f>
        <v>2</v>
      </c>
      <c r="G4" s="5">
        <v>0.25</v>
      </c>
      <c r="H4" s="5">
        <v>3</v>
      </c>
      <c r="I4" s="5">
        <v>3</v>
      </c>
      <c r="J4" s="5">
        <v>3</v>
      </c>
      <c r="K4" s="5">
        <v>1</v>
      </c>
      <c r="L4" s="5">
        <f t="shared" ref="L4:L5" si="2">D4/E4</f>
        <v>3</v>
      </c>
      <c r="M4" s="7">
        <f t="shared" si="0"/>
        <v>89.566877688099865</v>
      </c>
      <c r="N4" s="4"/>
    </row>
    <row r="5" spans="1:14" ht="23.4" x14ac:dyDescent="0.45">
      <c r="A5" s="4"/>
      <c r="B5" s="4"/>
      <c r="C5" s="4"/>
      <c r="D5" s="4"/>
      <c r="E5" s="4"/>
      <c r="F5" s="8"/>
      <c r="G5" s="5"/>
      <c r="H5" s="5"/>
      <c r="I5" s="5"/>
      <c r="J5" s="5"/>
      <c r="K5" s="5"/>
      <c r="L5" s="5"/>
      <c r="M5" s="7"/>
      <c r="N5" s="4"/>
    </row>
    <row r="6" spans="1:14" x14ac:dyDescent="0.3">
      <c r="F6" s="1"/>
      <c r="G6" s="1"/>
      <c r="H6" s="1"/>
      <c r="I6" s="1"/>
      <c r="J6" s="1"/>
      <c r="K6" s="1"/>
      <c r="L6" s="1"/>
      <c r="M6" s="1"/>
    </row>
    <row r="7" spans="1:14" x14ac:dyDescent="0.3">
      <c r="F7" s="1"/>
      <c r="G7" s="1"/>
      <c r="H7" s="1"/>
      <c r="I7" s="1"/>
      <c r="J7" s="1"/>
      <c r="K7" s="1"/>
      <c r="L7" s="1"/>
      <c r="M7" s="1"/>
    </row>
    <row r="8" spans="1:14" x14ac:dyDescent="0.3">
      <c r="F8" s="1"/>
      <c r="G8" s="1"/>
      <c r="H8" s="1"/>
      <c r="I8" s="1"/>
      <c r="J8" s="1"/>
      <c r="K8" s="1"/>
      <c r="L8" s="1"/>
      <c r="M8" s="1"/>
    </row>
    <row r="9" spans="1:14" x14ac:dyDescent="0.3">
      <c r="F9" s="1"/>
      <c r="G9" s="1"/>
      <c r="H9" s="1"/>
      <c r="I9" s="1"/>
      <c r="J9" s="1"/>
      <c r="K9" s="1"/>
      <c r="L9" s="1"/>
      <c r="M9" s="1"/>
    </row>
    <row r="11" spans="1:14" x14ac:dyDescent="0.3">
      <c r="A11" t="s">
        <v>8</v>
      </c>
    </row>
    <row r="12" spans="1:14" x14ac:dyDescent="0.3">
      <c r="A12" t="s">
        <v>9</v>
      </c>
    </row>
    <row r="13" spans="1:14" x14ac:dyDescent="0.3">
      <c r="A13" t="s">
        <v>10</v>
      </c>
    </row>
  </sheetData>
  <pageMargins left="0.75" right="0.75" top="1" bottom="1" header="0.5" footer="0.5"/>
  <ignoredErrors>
    <ignoredError sqref="F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Ontko</cp:lastModifiedBy>
  <dcterms:created xsi:type="dcterms:W3CDTF">2025-11-14T01:02:29Z</dcterms:created>
  <dcterms:modified xsi:type="dcterms:W3CDTF">2025-11-14T01:29:25Z</dcterms:modified>
</cp:coreProperties>
</file>